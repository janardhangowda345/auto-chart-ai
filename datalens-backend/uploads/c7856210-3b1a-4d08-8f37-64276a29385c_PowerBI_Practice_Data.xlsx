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Customers" sheetId="2" state="visible" r:id="rId4"/>
    <sheet name="Targe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<sst xmlns="http://schemas.openxmlformats.org/spreadsheetml/2006/main" count="245" uniqueCount="137">
  <si>
    <t xml:space="preserve">Order ID</t>
  </si>
  <si>
    <t xml:space="preserve">Date</t>
  </si>
  <si>
    <t xml:space="preserve">Customer Name</t>
  </si>
  <si>
    <t xml:space="preserve">Region</t>
  </si>
  <si>
    <t xml:space="preserve">Category</t>
  </si>
  <si>
    <t xml:space="preserve">Product</t>
  </si>
  <si>
    <t xml:space="preserve">Units Sold</t>
  </si>
  <si>
    <t xml:space="preserve">Unit Price</t>
  </si>
  <si>
    <t xml:space="preserve">Total Sales</t>
  </si>
  <si>
    <t xml:space="preserve">Discount %</t>
  </si>
  <si>
    <t xml:space="preserve">Net Sales</t>
  </si>
  <si>
    <t xml:space="preserve">Sales Rep</t>
  </si>
  <si>
    <t xml:space="preserve">ORD001</t>
  </si>
  <si>
    <t xml:space="preserve">2024-01-05</t>
  </si>
  <si>
    <t xml:space="preserve">Ravi Kumar</t>
  </si>
  <si>
    <t xml:space="preserve">South</t>
  </si>
  <si>
    <t xml:space="preserve">Electronics</t>
  </si>
  <si>
    <t xml:space="preserve">Laptop</t>
  </si>
  <si>
    <t xml:space="preserve">Meera</t>
  </si>
  <si>
    <t xml:space="preserve">ORD002</t>
  </si>
  <si>
    <t xml:space="preserve">2024-01-12</t>
  </si>
  <si>
    <t xml:space="preserve">Priya Sharma</t>
  </si>
  <si>
    <t xml:space="preserve">North</t>
  </si>
  <si>
    <t xml:space="preserve">Furniture</t>
  </si>
  <si>
    <t xml:space="preserve">Office Chair</t>
  </si>
  <si>
    <t xml:space="preserve">Kiran</t>
  </si>
  <si>
    <t xml:space="preserve">ORD003</t>
  </si>
  <si>
    <t xml:space="preserve">2024-01-18</t>
  </si>
  <si>
    <t xml:space="preserve">Anil Verma</t>
  </si>
  <si>
    <t xml:space="preserve">East</t>
  </si>
  <si>
    <t xml:space="preserve">Mobile</t>
  </si>
  <si>
    <t xml:space="preserve">Suresh</t>
  </si>
  <si>
    <t xml:space="preserve">ORD004</t>
  </si>
  <si>
    <t xml:space="preserve">2024-02-03</t>
  </si>
  <si>
    <t xml:space="preserve">Deepa Nair</t>
  </si>
  <si>
    <t xml:space="preserve">West</t>
  </si>
  <si>
    <t xml:space="preserve">Clothing</t>
  </si>
  <si>
    <t xml:space="preserve">Jacket</t>
  </si>
  <si>
    <t xml:space="preserve">ORD005</t>
  </si>
  <si>
    <t xml:space="preserve">2024-02-14</t>
  </si>
  <si>
    <t xml:space="preserve">Suresh Babu</t>
  </si>
  <si>
    <t xml:space="preserve">Tablet</t>
  </si>
  <si>
    <t xml:space="preserve">ORD006</t>
  </si>
  <si>
    <t xml:space="preserve">2024-02-22</t>
  </si>
  <si>
    <t xml:space="preserve">Kavitha R</t>
  </si>
  <si>
    <t xml:space="preserve">Study Table</t>
  </si>
  <si>
    <t xml:space="preserve">ORD007</t>
  </si>
  <si>
    <t xml:space="preserve">2024-03-01</t>
  </si>
  <si>
    <t xml:space="preserve">Ramesh Pillai</t>
  </si>
  <si>
    <t xml:space="preserve">Shirt</t>
  </si>
  <si>
    <t xml:space="preserve">ORD008</t>
  </si>
  <si>
    <t xml:space="preserve">2024-03-10</t>
  </si>
  <si>
    <t xml:space="preserve">Lakshmi M</t>
  </si>
  <si>
    <t xml:space="preserve">ORD009</t>
  </si>
  <si>
    <t xml:space="preserve">2024-03-20</t>
  </si>
  <si>
    <t xml:space="preserve">Vijay G</t>
  </si>
  <si>
    <t xml:space="preserve">Sofa</t>
  </si>
  <si>
    <t xml:space="preserve">ORD010</t>
  </si>
  <si>
    <t xml:space="preserve">2024-04-05</t>
  </si>
  <si>
    <t xml:space="preserve">Anita Joshi</t>
  </si>
  <si>
    <t xml:space="preserve">Saree</t>
  </si>
  <si>
    <t xml:space="preserve">ORD011</t>
  </si>
  <si>
    <t xml:space="preserve">2024-04-15</t>
  </si>
  <si>
    <t xml:space="preserve">Manoj Kumar</t>
  </si>
  <si>
    <t xml:space="preserve">Headphones</t>
  </si>
  <si>
    <t xml:space="preserve">ORD012</t>
  </si>
  <si>
    <t xml:space="preserve">2024-04-28</t>
  </si>
  <si>
    <t xml:space="preserve">Sneha Patil</t>
  </si>
  <si>
    <t xml:space="preserve">Bookshelf</t>
  </si>
  <si>
    <t xml:space="preserve">ORD013</t>
  </si>
  <si>
    <t xml:space="preserve">2024-05-07</t>
  </si>
  <si>
    <t xml:space="preserve">Trouser</t>
  </si>
  <si>
    <t xml:space="preserve">ORD014</t>
  </si>
  <si>
    <t xml:space="preserve">2024-05-18</t>
  </si>
  <si>
    <t xml:space="preserve">ORD015</t>
  </si>
  <si>
    <t xml:space="preserve">2024-06-02</t>
  </si>
  <si>
    <t xml:space="preserve">ORD016</t>
  </si>
  <si>
    <t xml:space="preserve">2024-06-14</t>
  </si>
  <si>
    <t xml:space="preserve">Dining Table</t>
  </si>
  <si>
    <t xml:space="preserve">ORD017</t>
  </si>
  <si>
    <t xml:space="preserve">2024-06-25</t>
  </si>
  <si>
    <t xml:space="preserve">ORD018</t>
  </si>
  <si>
    <t xml:space="preserve">2024-07-08</t>
  </si>
  <si>
    <t xml:space="preserve">ORD019</t>
  </si>
  <si>
    <t xml:space="preserve">2024-07-20</t>
  </si>
  <si>
    <t xml:space="preserve">ORD020</t>
  </si>
  <si>
    <t xml:space="preserve">2024-08-01</t>
  </si>
  <si>
    <t xml:space="preserve">Customer ID</t>
  </si>
  <si>
    <t xml:space="preserve">City</t>
  </si>
  <si>
    <t xml:space="preserve">State</t>
  </si>
  <si>
    <t xml:space="preserve">Age Group</t>
  </si>
  <si>
    <t xml:space="preserve">Loyalty Tier</t>
  </si>
  <si>
    <t xml:space="preserve">C001</t>
  </si>
  <si>
    <t xml:space="preserve">Bangalore</t>
  </si>
  <si>
    <t xml:space="preserve">Karnataka</t>
  </si>
  <si>
    <t xml:space="preserve">30-40</t>
  </si>
  <si>
    <t xml:space="preserve">Gold</t>
  </si>
  <si>
    <t xml:space="preserve">C002</t>
  </si>
  <si>
    <t xml:space="preserve">Delhi</t>
  </si>
  <si>
    <t xml:space="preserve">25-30</t>
  </si>
  <si>
    <t xml:space="preserve">Silver</t>
  </si>
  <si>
    <t xml:space="preserve">C003</t>
  </si>
  <si>
    <t xml:space="preserve">Kolkata</t>
  </si>
  <si>
    <t xml:space="preserve">West Bengal</t>
  </si>
  <si>
    <t xml:space="preserve">40-50</t>
  </si>
  <si>
    <t xml:space="preserve">Platinum</t>
  </si>
  <si>
    <t xml:space="preserve">C004</t>
  </si>
  <si>
    <t xml:space="preserve">Mumbai</t>
  </si>
  <si>
    <t xml:space="preserve">Maharashtra</t>
  </si>
  <si>
    <t xml:space="preserve">C005</t>
  </si>
  <si>
    <t xml:space="preserve">Chennai</t>
  </si>
  <si>
    <t xml:space="preserve">Tamil Nadu</t>
  </si>
  <si>
    <t xml:space="preserve">Bronze</t>
  </si>
  <si>
    <t xml:space="preserve">C006</t>
  </si>
  <si>
    <t xml:space="preserve">Hyderabad</t>
  </si>
  <si>
    <t xml:space="preserve">Telangana</t>
  </si>
  <si>
    <t xml:space="preserve">C007</t>
  </si>
  <si>
    <t xml:space="preserve">Kochi</t>
  </si>
  <si>
    <t xml:space="preserve">Kerala</t>
  </si>
  <si>
    <t xml:space="preserve">50+</t>
  </si>
  <si>
    <t xml:space="preserve">C008</t>
  </si>
  <si>
    <t xml:space="preserve">Pune</t>
  </si>
  <si>
    <t xml:space="preserve">C009</t>
  </si>
  <si>
    <t xml:space="preserve">Coimbatore</t>
  </si>
  <si>
    <t xml:space="preserve">C010</t>
  </si>
  <si>
    <t xml:space="preserve">Jaipur</t>
  </si>
  <si>
    <t xml:space="preserve">Rajasthan</t>
  </si>
  <si>
    <t xml:space="preserve">C011</t>
  </si>
  <si>
    <t xml:space="preserve">Lucknow</t>
  </si>
  <si>
    <t xml:space="preserve">UP</t>
  </si>
  <si>
    <t xml:space="preserve">C012</t>
  </si>
  <si>
    <t xml:space="preserve">Nashik</t>
  </si>
  <si>
    <t xml:space="preserve">Q1 Target</t>
  </si>
  <si>
    <t xml:space="preserve">Q2 Target</t>
  </si>
  <si>
    <t xml:space="preserve">Q3 Target</t>
  </si>
  <si>
    <t xml:space="preserve">Q4 Target</t>
  </si>
  <si>
    <t xml:space="preserve">Annual Target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</si>
</sst>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\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45A32"/>
      </patternFill>
    </fill>
    <fill>
      <patternFill patternType="solid">
        <fgColor rgb="FFD6E4F0"/>
        <bgColor rgb="FFE8DAEF"/>
      </patternFill>
    </fill>
    <fill>
      <patternFill patternType="solid">
        <fgColor rgb="FF145A32"/>
        <bgColor rgb="FF1F4E79"/>
      </patternFill>
    </fill>
    <fill>
      <patternFill patternType="solid">
        <fgColor rgb="FFD5F5E3"/>
        <bgColor rgb="FFCCFFFF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C3483"/>
      <rgbColor rgb="FFFFFFCC"/>
      <rgbColor rgb="FFD6E4F0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n">
        <v>2</v>
      </c>
      <c r="H2" s="3" t="n">
        <v>55000</v>
      </c>
      <c r="I2" s="3" t="n">
        <f aca="false">G2*H2</f>
        <v>110000</v>
      </c>
      <c r="J2" s="4" t="n">
        <v>5</v>
      </c>
      <c r="K2" s="3" t="n">
        <f aca="false">I2*(1-J2/100)</f>
        <v>104500</v>
      </c>
      <c r="L2" s="2" t="s">
        <v>18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6" t="n">
        <v>5</v>
      </c>
      <c r="H3" s="6" t="n">
        <v>8500</v>
      </c>
      <c r="I3" s="6" t="n">
        <f aca="false">G3*H3</f>
        <v>42500</v>
      </c>
      <c r="J3" s="7" t="n">
        <v>10</v>
      </c>
      <c r="K3" s="6" t="n">
        <f aca="false">I3*(1-J3/100)</f>
        <v>38250</v>
      </c>
      <c r="L3" s="5" t="s">
        <v>25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29</v>
      </c>
      <c r="E4" s="2" t="s">
        <v>16</v>
      </c>
      <c r="F4" s="2" t="s">
        <v>30</v>
      </c>
      <c r="G4" s="3" t="n">
        <v>10</v>
      </c>
      <c r="H4" s="3" t="n">
        <v>22000</v>
      </c>
      <c r="I4" s="3" t="n">
        <f aca="false">G4*H4</f>
        <v>220000</v>
      </c>
      <c r="J4" s="4" t="n">
        <v>0</v>
      </c>
      <c r="K4" s="3" t="n">
        <f aca="false">I4*(1-J4/100)</f>
        <v>220000</v>
      </c>
      <c r="L4" s="2" t="s">
        <v>31</v>
      </c>
    </row>
    <row r="5" customFormat="false" ht="15" hidden="false" customHeight="false" outlineLevel="0" collapsed="false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6" t="n">
        <v>8</v>
      </c>
      <c r="H5" s="6" t="n">
        <v>3500</v>
      </c>
      <c r="I5" s="6" t="n">
        <f aca="false">G5*H5</f>
        <v>28000</v>
      </c>
      <c r="J5" s="7" t="n">
        <v>15</v>
      </c>
      <c r="K5" s="6" t="n">
        <f aca="false">I5*(1-J5/100)</f>
        <v>23800</v>
      </c>
      <c r="L5" s="5" t="s">
        <v>18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40</v>
      </c>
      <c r="D6" s="2" t="s">
        <v>15</v>
      </c>
      <c r="E6" s="2" t="s">
        <v>16</v>
      </c>
      <c r="F6" s="2" t="s">
        <v>41</v>
      </c>
      <c r="G6" s="3" t="n">
        <v>3</v>
      </c>
      <c r="H6" s="3" t="n">
        <v>35000</v>
      </c>
      <c r="I6" s="3" t="n">
        <f aca="false">G6*H6</f>
        <v>105000</v>
      </c>
      <c r="J6" s="4" t="n">
        <v>5</v>
      </c>
      <c r="K6" s="3" t="n">
        <f aca="false">I6*(1-J6/100)</f>
        <v>99750</v>
      </c>
      <c r="L6" s="2" t="s">
        <v>25</v>
      </c>
    </row>
    <row r="7" customFormat="false" ht="15" hidden="false" customHeight="false" outlineLevel="0" collapsed="false">
      <c r="A7" s="5" t="s">
        <v>42</v>
      </c>
      <c r="B7" s="5" t="s">
        <v>43</v>
      </c>
      <c r="C7" s="5" t="s">
        <v>44</v>
      </c>
      <c r="D7" s="5" t="s">
        <v>22</v>
      </c>
      <c r="E7" s="5" t="s">
        <v>23</v>
      </c>
      <c r="F7" s="5" t="s">
        <v>45</v>
      </c>
      <c r="G7" s="6" t="n">
        <v>4</v>
      </c>
      <c r="H7" s="6" t="n">
        <v>12000</v>
      </c>
      <c r="I7" s="6" t="n">
        <f aca="false">G7*H7</f>
        <v>48000</v>
      </c>
      <c r="J7" s="7" t="n">
        <v>0</v>
      </c>
      <c r="K7" s="6" t="n">
        <f aca="false">I7*(1-J7/100)</f>
        <v>48000</v>
      </c>
      <c r="L7" s="5" t="s">
        <v>31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29</v>
      </c>
      <c r="E8" s="2" t="s">
        <v>36</v>
      </c>
      <c r="F8" s="2" t="s">
        <v>49</v>
      </c>
      <c r="G8" s="3" t="n">
        <v>20</v>
      </c>
      <c r="H8" s="3" t="n">
        <v>1200</v>
      </c>
      <c r="I8" s="3" t="n">
        <f aca="false">G8*H8</f>
        <v>24000</v>
      </c>
      <c r="J8" s="4" t="n">
        <v>10</v>
      </c>
      <c r="K8" s="3" t="n">
        <f aca="false">I8*(1-J8/100)</f>
        <v>21600</v>
      </c>
      <c r="L8" s="2" t="s">
        <v>18</v>
      </c>
    </row>
    <row r="9" customFormat="false" ht="15" hidden="false" customHeight="false" outlineLevel="0" collapsed="false">
      <c r="A9" s="5" t="s">
        <v>50</v>
      </c>
      <c r="B9" s="5" t="s">
        <v>51</v>
      </c>
      <c r="C9" s="5" t="s">
        <v>52</v>
      </c>
      <c r="D9" s="5" t="s">
        <v>35</v>
      </c>
      <c r="E9" s="5" t="s">
        <v>16</v>
      </c>
      <c r="F9" s="5" t="s">
        <v>17</v>
      </c>
      <c r="G9" s="6" t="n">
        <v>1</v>
      </c>
      <c r="H9" s="6" t="n">
        <v>55000</v>
      </c>
      <c r="I9" s="6" t="n">
        <f aca="false">G9*H9</f>
        <v>55000</v>
      </c>
      <c r="J9" s="7" t="n">
        <v>0</v>
      </c>
      <c r="K9" s="6" t="n">
        <f aca="false">I9*(1-J9/100)</f>
        <v>55000</v>
      </c>
      <c r="L9" s="5" t="s">
        <v>25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15</v>
      </c>
      <c r="E10" s="2" t="s">
        <v>23</v>
      </c>
      <c r="F10" s="2" t="s">
        <v>56</v>
      </c>
      <c r="G10" s="3" t="n">
        <v>2</v>
      </c>
      <c r="H10" s="3" t="n">
        <v>45000</v>
      </c>
      <c r="I10" s="3" t="n">
        <f aca="false">G10*H10</f>
        <v>90000</v>
      </c>
      <c r="J10" s="4" t="n">
        <v>8</v>
      </c>
      <c r="K10" s="3" t="n">
        <f aca="false">I10*(1-J10/100)</f>
        <v>82800</v>
      </c>
      <c r="L10" s="2" t="s">
        <v>31</v>
      </c>
    </row>
    <row r="11" customFormat="false" ht="15" hidden="false" customHeight="false" outlineLevel="0" collapsed="false">
      <c r="A11" s="5" t="s">
        <v>57</v>
      </c>
      <c r="B11" s="5" t="s">
        <v>58</v>
      </c>
      <c r="C11" s="5" t="s">
        <v>59</v>
      </c>
      <c r="D11" s="5" t="s">
        <v>22</v>
      </c>
      <c r="E11" s="5" t="s">
        <v>36</v>
      </c>
      <c r="F11" s="5" t="s">
        <v>60</v>
      </c>
      <c r="G11" s="6" t="n">
        <v>15</v>
      </c>
      <c r="H11" s="6" t="n">
        <v>2500</v>
      </c>
      <c r="I11" s="6" t="n">
        <f aca="false">G11*H11</f>
        <v>37500</v>
      </c>
      <c r="J11" s="7" t="n">
        <v>5</v>
      </c>
      <c r="K11" s="6" t="n">
        <f aca="false">I11*(1-J11/100)</f>
        <v>35625</v>
      </c>
      <c r="L11" s="5" t="s">
        <v>18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29</v>
      </c>
      <c r="E12" s="2" t="s">
        <v>16</v>
      </c>
      <c r="F12" s="2" t="s">
        <v>64</v>
      </c>
      <c r="G12" s="3" t="n">
        <v>12</v>
      </c>
      <c r="H12" s="3" t="n">
        <v>5000</v>
      </c>
      <c r="I12" s="3" t="n">
        <f aca="false">G12*H12</f>
        <v>60000</v>
      </c>
      <c r="J12" s="4" t="n">
        <v>10</v>
      </c>
      <c r="K12" s="3" t="n">
        <f aca="false">I12*(1-J12/100)</f>
        <v>54000</v>
      </c>
      <c r="L12" s="2" t="s">
        <v>25</v>
      </c>
    </row>
    <row r="13" customFormat="false" ht="15" hidden="false" customHeight="false" outlineLevel="0" collapsed="false">
      <c r="A13" s="5" t="s">
        <v>65</v>
      </c>
      <c r="B13" s="5" t="s">
        <v>66</v>
      </c>
      <c r="C13" s="5" t="s">
        <v>67</v>
      </c>
      <c r="D13" s="5" t="s">
        <v>35</v>
      </c>
      <c r="E13" s="5" t="s">
        <v>23</v>
      </c>
      <c r="F13" s="5" t="s">
        <v>68</v>
      </c>
      <c r="G13" s="6" t="n">
        <v>3</v>
      </c>
      <c r="H13" s="6" t="n">
        <v>9000</v>
      </c>
      <c r="I13" s="6" t="n">
        <f aca="false">G13*H13</f>
        <v>27000</v>
      </c>
      <c r="J13" s="7" t="n">
        <v>0</v>
      </c>
      <c r="K13" s="6" t="n">
        <f aca="false">I13*(1-J13/100)</f>
        <v>27000</v>
      </c>
      <c r="L13" s="5" t="s">
        <v>31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14</v>
      </c>
      <c r="D14" s="2" t="s">
        <v>15</v>
      </c>
      <c r="E14" s="2" t="s">
        <v>36</v>
      </c>
      <c r="F14" s="2" t="s">
        <v>71</v>
      </c>
      <c r="G14" s="3" t="n">
        <v>6</v>
      </c>
      <c r="H14" s="3" t="n">
        <v>1800</v>
      </c>
      <c r="I14" s="3" t="n">
        <f aca="false">G14*H14</f>
        <v>10800</v>
      </c>
      <c r="J14" s="4" t="n">
        <v>0</v>
      </c>
      <c r="K14" s="3" t="n">
        <f aca="false">I14*(1-J14/100)</f>
        <v>10800</v>
      </c>
      <c r="L14" s="2" t="s">
        <v>18</v>
      </c>
    </row>
    <row r="15" customFormat="false" ht="15" hidden="false" customHeight="false" outlineLevel="0" collapsed="false">
      <c r="A15" s="5" t="s">
        <v>72</v>
      </c>
      <c r="B15" s="5" t="s">
        <v>73</v>
      </c>
      <c r="C15" s="5" t="s">
        <v>21</v>
      </c>
      <c r="D15" s="5" t="s">
        <v>22</v>
      </c>
      <c r="E15" s="5" t="s">
        <v>16</v>
      </c>
      <c r="F15" s="5" t="s">
        <v>30</v>
      </c>
      <c r="G15" s="6" t="n">
        <v>4</v>
      </c>
      <c r="H15" s="6" t="n">
        <v>22000</v>
      </c>
      <c r="I15" s="6" t="n">
        <f aca="false">G15*H15</f>
        <v>88000</v>
      </c>
      <c r="J15" s="7" t="n">
        <v>5</v>
      </c>
      <c r="K15" s="6" t="n">
        <f aca="false">I15*(1-J15/100)</f>
        <v>83600</v>
      </c>
      <c r="L15" s="5" t="s">
        <v>25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34</v>
      </c>
      <c r="D16" s="2" t="s">
        <v>35</v>
      </c>
      <c r="E16" s="2" t="s">
        <v>16</v>
      </c>
      <c r="F16" s="2" t="s">
        <v>41</v>
      </c>
      <c r="G16" s="3" t="n">
        <v>6</v>
      </c>
      <c r="H16" s="3" t="n">
        <v>35000</v>
      </c>
      <c r="I16" s="3" t="n">
        <f aca="false">G16*H16</f>
        <v>210000</v>
      </c>
      <c r="J16" s="4" t="n">
        <v>10</v>
      </c>
      <c r="K16" s="3" t="n">
        <f aca="false">I16*(1-J16/100)</f>
        <v>189000</v>
      </c>
      <c r="L16" s="2" t="s">
        <v>31</v>
      </c>
    </row>
    <row r="17" customFormat="false" ht="15" hidden="false" customHeight="false" outlineLevel="0" collapsed="false">
      <c r="A17" s="5" t="s">
        <v>76</v>
      </c>
      <c r="B17" s="5" t="s">
        <v>77</v>
      </c>
      <c r="C17" s="5" t="s">
        <v>40</v>
      </c>
      <c r="D17" s="5" t="s">
        <v>15</v>
      </c>
      <c r="E17" s="5" t="s">
        <v>23</v>
      </c>
      <c r="F17" s="5" t="s">
        <v>78</v>
      </c>
      <c r="G17" s="6" t="n">
        <v>1</v>
      </c>
      <c r="H17" s="6" t="n">
        <v>28000</v>
      </c>
      <c r="I17" s="6" t="n">
        <f aca="false">G17*H17</f>
        <v>28000</v>
      </c>
      <c r="J17" s="7" t="n">
        <v>0</v>
      </c>
      <c r="K17" s="6" t="n">
        <f aca="false">I17*(1-J17/100)</f>
        <v>28000</v>
      </c>
      <c r="L17" s="5" t="s">
        <v>18</v>
      </c>
    </row>
    <row r="18" customFormat="false" ht="15" hidden="false" customHeight="false" outlineLevel="0" collapsed="false">
      <c r="A18" s="2" t="s">
        <v>79</v>
      </c>
      <c r="B18" s="2" t="s">
        <v>80</v>
      </c>
      <c r="C18" s="2" t="s">
        <v>44</v>
      </c>
      <c r="D18" s="2" t="s">
        <v>22</v>
      </c>
      <c r="E18" s="2" t="s">
        <v>36</v>
      </c>
      <c r="F18" s="2" t="s">
        <v>37</v>
      </c>
      <c r="G18" s="3" t="n">
        <v>10</v>
      </c>
      <c r="H18" s="3" t="n">
        <v>3500</v>
      </c>
      <c r="I18" s="3" t="n">
        <f aca="false">G18*H18</f>
        <v>35000</v>
      </c>
      <c r="J18" s="4" t="n">
        <v>15</v>
      </c>
      <c r="K18" s="3" t="n">
        <f aca="false">I18*(1-J18/100)</f>
        <v>29750</v>
      </c>
      <c r="L18" s="2" t="s">
        <v>25</v>
      </c>
    </row>
    <row r="19" customFormat="false" ht="15" hidden="false" customHeight="false" outlineLevel="0" collapsed="false">
      <c r="A19" s="5" t="s">
        <v>81</v>
      </c>
      <c r="B19" s="5" t="s">
        <v>82</v>
      </c>
      <c r="C19" s="5" t="s">
        <v>28</v>
      </c>
      <c r="D19" s="5" t="s">
        <v>29</v>
      </c>
      <c r="E19" s="5" t="s">
        <v>16</v>
      </c>
      <c r="F19" s="5" t="s">
        <v>17</v>
      </c>
      <c r="G19" s="6" t="n">
        <v>3</v>
      </c>
      <c r="H19" s="6" t="n">
        <v>55000</v>
      </c>
      <c r="I19" s="6" t="n">
        <f aca="false">G19*H19</f>
        <v>165000</v>
      </c>
      <c r="J19" s="7" t="n">
        <v>5</v>
      </c>
      <c r="K19" s="6" t="n">
        <f aca="false">I19*(1-J19/100)</f>
        <v>156750</v>
      </c>
      <c r="L19" s="5" t="s">
        <v>31</v>
      </c>
    </row>
    <row r="20" customFormat="false" ht="15" hidden="false" customHeight="false" outlineLevel="0" collapsed="false">
      <c r="A20" s="2" t="s">
        <v>83</v>
      </c>
      <c r="B20" s="2" t="s">
        <v>84</v>
      </c>
      <c r="C20" s="2" t="s">
        <v>48</v>
      </c>
      <c r="D20" s="2" t="s">
        <v>29</v>
      </c>
      <c r="E20" s="2" t="s">
        <v>23</v>
      </c>
      <c r="F20" s="2" t="s">
        <v>24</v>
      </c>
      <c r="G20" s="3" t="n">
        <v>7</v>
      </c>
      <c r="H20" s="3" t="n">
        <v>8500</v>
      </c>
      <c r="I20" s="3" t="n">
        <f aca="false">G20*H20</f>
        <v>59500</v>
      </c>
      <c r="J20" s="4" t="n">
        <v>10</v>
      </c>
      <c r="K20" s="3" t="n">
        <f aca="false">I20*(1-J20/100)</f>
        <v>53550</v>
      </c>
      <c r="L20" s="2" t="s">
        <v>18</v>
      </c>
    </row>
    <row r="21" customFormat="false" ht="15" hidden="false" customHeight="false" outlineLevel="0" collapsed="false">
      <c r="A21" s="5" t="s">
        <v>85</v>
      </c>
      <c r="B21" s="5" t="s">
        <v>86</v>
      </c>
      <c r="C21" s="5" t="s">
        <v>59</v>
      </c>
      <c r="D21" s="5" t="s">
        <v>22</v>
      </c>
      <c r="E21" s="5" t="s">
        <v>36</v>
      </c>
      <c r="F21" s="5" t="s">
        <v>49</v>
      </c>
      <c r="G21" s="6" t="n">
        <v>25</v>
      </c>
      <c r="H21" s="6" t="n">
        <v>1200</v>
      </c>
      <c r="I21" s="6" t="n">
        <f aca="false">G21*H21</f>
        <v>30000</v>
      </c>
      <c r="J21" s="7" t="n">
        <v>0</v>
      </c>
      <c r="K21" s="6" t="n">
        <f aca="false">I21*(1-J21/100)</f>
        <v>30000</v>
      </c>
      <c r="L21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8" t="s">
        <v>87</v>
      </c>
      <c r="B1" s="8" t="s">
        <v>2</v>
      </c>
      <c r="C1" s="8" t="s">
        <v>88</v>
      </c>
      <c r="D1" s="8" t="s">
        <v>89</v>
      </c>
      <c r="E1" s="8" t="s">
        <v>90</v>
      </c>
      <c r="F1" s="8" t="s">
        <v>91</v>
      </c>
    </row>
    <row r="2" customFormat="false" ht="15" hidden="false" customHeight="false" outlineLevel="0" collapsed="false">
      <c r="A2" s="9" t="s">
        <v>92</v>
      </c>
      <c r="B2" s="9" t="s">
        <v>14</v>
      </c>
      <c r="C2" s="9" t="s">
        <v>93</v>
      </c>
      <c r="D2" s="9" t="s">
        <v>94</v>
      </c>
      <c r="E2" s="9" t="s">
        <v>95</v>
      </c>
      <c r="F2" s="9" t="s">
        <v>96</v>
      </c>
    </row>
    <row r="3" customFormat="false" ht="15" hidden="false" customHeight="false" outlineLevel="0" collapsed="false">
      <c r="A3" s="2" t="s">
        <v>97</v>
      </c>
      <c r="B3" s="2" t="s">
        <v>21</v>
      </c>
      <c r="C3" s="2" t="s">
        <v>98</v>
      </c>
      <c r="D3" s="2" t="s">
        <v>98</v>
      </c>
      <c r="E3" s="2" t="s">
        <v>99</v>
      </c>
      <c r="F3" s="2" t="s">
        <v>100</v>
      </c>
    </row>
    <row r="4" customFormat="false" ht="15" hidden="false" customHeight="false" outlineLevel="0" collapsed="false">
      <c r="A4" s="9" t="s">
        <v>101</v>
      </c>
      <c r="B4" s="9" t="s">
        <v>28</v>
      </c>
      <c r="C4" s="9" t="s">
        <v>102</v>
      </c>
      <c r="D4" s="9" t="s">
        <v>103</v>
      </c>
      <c r="E4" s="9" t="s">
        <v>104</v>
      </c>
      <c r="F4" s="9" t="s">
        <v>105</v>
      </c>
    </row>
    <row r="5" customFormat="false" ht="15" hidden="false" customHeight="false" outlineLevel="0" collapsed="false">
      <c r="A5" s="2" t="s">
        <v>106</v>
      </c>
      <c r="B5" s="2" t="s">
        <v>34</v>
      </c>
      <c r="C5" s="2" t="s">
        <v>107</v>
      </c>
      <c r="D5" s="2" t="s">
        <v>108</v>
      </c>
      <c r="E5" s="2" t="s">
        <v>95</v>
      </c>
      <c r="F5" s="2" t="s">
        <v>96</v>
      </c>
    </row>
    <row r="6" customFormat="false" ht="15" hidden="false" customHeight="false" outlineLevel="0" collapsed="false">
      <c r="A6" s="9" t="s">
        <v>109</v>
      </c>
      <c r="B6" s="9" t="s">
        <v>40</v>
      </c>
      <c r="C6" s="9" t="s">
        <v>110</v>
      </c>
      <c r="D6" s="9" t="s">
        <v>111</v>
      </c>
      <c r="E6" s="9" t="s">
        <v>99</v>
      </c>
      <c r="F6" s="9" t="s">
        <v>112</v>
      </c>
    </row>
    <row r="7" customFormat="false" ht="15" hidden="false" customHeight="false" outlineLevel="0" collapsed="false">
      <c r="A7" s="2" t="s">
        <v>113</v>
      </c>
      <c r="B7" s="2" t="s">
        <v>44</v>
      </c>
      <c r="C7" s="2" t="s">
        <v>114</v>
      </c>
      <c r="D7" s="2" t="s">
        <v>115</v>
      </c>
      <c r="E7" s="2" t="s">
        <v>104</v>
      </c>
      <c r="F7" s="2" t="s">
        <v>100</v>
      </c>
    </row>
    <row r="8" customFormat="false" ht="15" hidden="false" customHeight="false" outlineLevel="0" collapsed="false">
      <c r="A8" s="9" t="s">
        <v>116</v>
      </c>
      <c r="B8" s="9" t="s">
        <v>48</v>
      </c>
      <c r="C8" s="9" t="s">
        <v>117</v>
      </c>
      <c r="D8" s="9" t="s">
        <v>118</v>
      </c>
      <c r="E8" s="9" t="s">
        <v>119</v>
      </c>
      <c r="F8" s="9" t="s">
        <v>96</v>
      </c>
    </row>
    <row r="9" customFormat="false" ht="15" hidden="false" customHeight="false" outlineLevel="0" collapsed="false">
      <c r="A9" s="2" t="s">
        <v>120</v>
      </c>
      <c r="B9" s="2" t="s">
        <v>52</v>
      </c>
      <c r="C9" s="2" t="s">
        <v>121</v>
      </c>
      <c r="D9" s="2" t="s">
        <v>108</v>
      </c>
      <c r="E9" s="2" t="s">
        <v>95</v>
      </c>
      <c r="F9" s="2" t="s">
        <v>112</v>
      </c>
    </row>
    <row r="10" customFormat="false" ht="15" hidden="false" customHeight="false" outlineLevel="0" collapsed="false">
      <c r="A10" s="9" t="s">
        <v>122</v>
      </c>
      <c r="B10" s="9" t="s">
        <v>55</v>
      </c>
      <c r="C10" s="9" t="s">
        <v>123</v>
      </c>
      <c r="D10" s="9" t="s">
        <v>111</v>
      </c>
      <c r="E10" s="9" t="s">
        <v>99</v>
      </c>
      <c r="F10" s="9" t="s">
        <v>100</v>
      </c>
    </row>
    <row r="11" customFormat="false" ht="15" hidden="false" customHeight="false" outlineLevel="0" collapsed="false">
      <c r="A11" s="2" t="s">
        <v>124</v>
      </c>
      <c r="B11" s="2" t="s">
        <v>59</v>
      </c>
      <c r="C11" s="2" t="s">
        <v>125</v>
      </c>
      <c r="D11" s="2" t="s">
        <v>126</v>
      </c>
      <c r="E11" s="2" t="s">
        <v>104</v>
      </c>
      <c r="F11" s="2" t="s">
        <v>105</v>
      </c>
    </row>
    <row r="12" customFormat="false" ht="15" hidden="false" customHeight="false" outlineLevel="0" collapsed="false">
      <c r="A12" s="9" t="s">
        <v>127</v>
      </c>
      <c r="B12" s="9" t="s">
        <v>63</v>
      </c>
      <c r="C12" s="9" t="s">
        <v>128</v>
      </c>
      <c r="D12" s="9" t="s">
        <v>129</v>
      </c>
      <c r="E12" s="9" t="s">
        <v>95</v>
      </c>
      <c r="F12" s="9" t="s">
        <v>112</v>
      </c>
    </row>
    <row r="13" customFormat="false" ht="15" hidden="false" customHeight="false" outlineLevel="0" collapsed="false">
      <c r="A13" s="2" t="s">
        <v>130</v>
      </c>
      <c r="B13" s="2" t="s">
        <v>67</v>
      </c>
      <c r="C13" s="2" t="s">
        <v>131</v>
      </c>
      <c r="D13" s="2" t="s">
        <v>108</v>
      </c>
      <c r="E13" s="2" t="s">
        <v>99</v>
      </c>
      <c r="F13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0" t="s">
        <v>11</v>
      </c>
      <c r="B1" s="10" t="s">
        <v>3</v>
      </c>
      <c r="C1" s="10" t="s">
        <v>132</v>
      </c>
      <c r="D1" s="10" t="s">
        <v>133</v>
      </c>
      <c r="E1" s="10" t="s">
        <v>134</v>
      </c>
      <c r="F1" s="10" t="s">
        <v>135</v>
      </c>
      <c r="G1" s="10" t="s">
        <v>136</v>
      </c>
    </row>
    <row r="2" customFormat="false" ht="15" hidden="false" customHeight="false" outlineLevel="0" collapsed="false">
      <c r="A2" s="11" t="s">
        <v>18</v>
      </c>
      <c r="B2" s="11" t="s">
        <v>15</v>
      </c>
      <c r="C2" s="12" t="n">
        <v>500000</v>
      </c>
      <c r="D2" s="12" t="n">
        <v>550000</v>
      </c>
      <c r="E2" s="12" t="n">
        <v>600000</v>
      </c>
      <c r="F2" s="12" t="n">
        <v>650000</v>
      </c>
      <c r="G2" s="12" t="n">
        <f aca="false">SUM(C2:F2)</f>
        <v>2300000</v>
      </c>
    </row>
    <row r="3" customFormat="false" ht="15" hidden="false" customHeight="false" outlineLevel="0" collapsed="false">
      <c r="A3" s="2" t="s">
        <v>25</v>
      </c>
      <c r="B3" s="2" t="s">
        <v>22</v>
      </c>
      <c r="C3" s="3" t="n">
        <v>480000</v>
      </c>
      <c r="D3" s="3" t="n">
        <v>500000</v>
      </c>
      <c r="E3" s="3" t="n">
        <v>520000</v>
      </c>
      <c r="F3" s="3" t="n">
        <v>580000</v>
      </c>
      <c r="G3" s="3" t="n">
        <f aca="false">SUM(C3:F3)</f>
        <v>2080000</v>
      </c>
    </row>
    <row r="4" customFormat="false" ht="15" hidden="false" customHeight="false" outlineLevel="0" collapsed="false">
      <c r="A4" s="11" t="s">
        <v>31</v>
      </c>
      <c r="B4" s="11" t="s">
        <v>29</v>
      </c>
      <c r="C4" s="12" t="n">
        <v>420000</v>
      </c>
      <c r="D4" s="12" t="n">
        <v>460000</v>
      </c>
      <c r="E4" s="12" t="n">
        <v>500000</v>
      </c>
      <c r="F4" s="12" t="n">
        <v>540000</v>
      </c>
      <c r="G4" s="12" t="n">
        <f aca="false">SUM(C4:F4)</f>
        <v>1920000</v>
      </c>
    </row>
    <row r="5" customFormat="false" ht="15" hidden="false" customHeight="false" outlineLevel="0" collapsed="false">
      <c r="A5" s="2" t="s">
        <v>18</v>
      </c>
      <c r="B5" s="2" t="s">
        <v>35</v>
      </c>
      <c r="C5" s="3" t="n">
        <v>390000</v>
      </c>
      <c r="D5" s="3" t="n">
        <v>420000</v>
      </c>
      <c r="E5" s="3" t="n">
        <v>450000</v>
      </c>
      <c r="F5" s="3" t="n">
        <v>480000</v>
      </c>
      <c r="G5" s="3" t="n">
        <f aca="false">SUM(C5:F5)</f>
        <v>1740000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2026-03-29T14:05:46Z</dcterms:created>
  <dc:creator>openpyxl</dc:creator>
  <dc:description/>
  <dc:language>en-US</dc:language>
  <cp:lastModifiedBy/>
  <dcterms:modified xsi:type="dcterms:W3CDTF">2026-03-29T14:05:46Z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